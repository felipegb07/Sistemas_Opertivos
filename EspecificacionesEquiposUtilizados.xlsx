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8E6A7EA9-10A3-4B1C-92C5-5BBF4EB94F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P7" i="1"/>
  <c r="P9" i="1"/>
  <c r="P5" i="1"/>
</calcChain>
</file>

<file path=xl/sharedStrings.xml><?xml version="1.0" encoding="utf-8"?>
<sst xmlns="http://schemas.openxmlformats.org/spreadsheetml/2006/main" count="34" uniqueCount="29">
  <si>
    <t>CPU</t>
  </si>
  <si>
    <t>RAM</t>
  </si>
  <si>
    <t>TECNOLOGÍAS ESPECÍFICAS</t>
  </si>
  <si>
    <t>ESPECIFICACIONES DE CPU</t>
  </si>
  <si>
    <t>MÁQUINA UTILIZADA</t>
  </si>
  <si>
    <t>Usa Hyper-Threading</t>
  </si>
  <si>
    <t># Nucleos Fisicos</t>
  </si>
  <si>
    <t xml:space="preserve"># Nucleos Lógicos </t>
  </si>
  <si>
    <t>Velocidad Máxima de los Nucleos (GHz)</t>
  </si>
  <si>
    <t># de L1</t>
  </si>
  <si>
    <t># de L2</t>
  </si>
  <si>
    <t># de L3</t>
  </si>
  <si>
    <t>Tamaño total L1i
(MiB)</t>
  </si>
  <si>
    <t>Tamaño total L1d
 (MiB)</t>
  </si>
  <si>
    <t>Tamaño total L2 (MiB)</t>
  </si>
  <si>
    <t>Tamaño total L3 (MiB)</t>
  </si>
  <si>
    <t>Capacidad de Memoria RAM (GB)</t>
  </si>
  <si>
    <t>Tipo de RAM</t>
  </si>
  <si>
    <t>Ancho de Banda de RAM 
(MT/s * # de canales * 8 bytes / 1000) 
(GB/s)</t>
  </si>
  <si>
    <t>Lenovo Legion Pro 7i</t>
  </si>
  <si>
    <t>SI</t>
  </si>
  <si>
    <t>DDR5</t>
  </si>
  <si>
    <t>Asus Gaming Tuf f15</t>
  </si>
  <si>
    <t>DDR4</t>
  </si>
  <si>
    <t>Maquina Virtual Universidad</t>
  </si>
  <si>
    <t>No</t>
  </si>
  <si>
    <t>Lenovo IdeaPad Gaming 3</t>
  </si>
  <si>
    <t>Si</t>
  </si>
  <si>
    <t>ClusterHPC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</si>
</sst>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4"/>
  <sheetViews>
    <sheetView tabSelected="1" topLeftCell="N1" workbookViewId="0">
      <selection activeCell="G7" sqref="G7"/>
    </sheetView>
  </sheetViews>
  <sheetFormatPr defaultRowHeight="15"/>
  <cols>
    <col min="2" max="2" width="28.85546875" customWidth="1"/>
    <col min="3" max="3" width="19" customWidth="1"/>
    <col min="4" max="4" width="15.85546875" bestFit="1" customWidth="1"/>
    <col min="5" max="5" width="15.5703125" customWidth="1"/>
    <col min="6" max="6" width="11.42578125" customWidth="1"/>
    <col min="10" max="10" width="11.85546875" customWidth="1"/>
    <col min="11" max="11" width="12" customWidth="1"/>
    <col min="12" max="13" width="14.28515625" customWidth="1"/>
    <col min="14" max="14" width="26.7109375" customWidth="1"/>
    <col min="15" max="15" width="13" customWidth="1"/>
    <col min="16" max="16" width="35.7109375" customWidth="1"/>
  </cols>
  <sheetData>
    <row r="1" spans="2:16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28.5" customHeight="1">
      <c r="B2" s="25"/>
      <c r="C2" s="14" t="s">
        <v>0</v>
      </c>
      <c r="D2" s="15"/>
      <c r="E2" s="15"/>
      <c r="F2" s="15"/>
      <c r="G2" s="15"/>
      <c r="H2" s="15"/>
      <c r="I2" s="15"/>
      <c r="J2" s="15"/>
      <c r="K2" s="15"/>
      <c r="L2" s="15"/>
      <c r="M2" s="16"/>
      <c r="N2" s="21" t="s">
        <v>1</v>
      </c>
      <c r="O2" s="21"/>
      <c r="P2" s="22"/>
    </row>
    <row r="3" spans="2:16" ht="28.5" customHeight="1">
      <c r="B3" s="26"/>
      <c r="C3" s="17" t="s">
        <v>2</v>
      </c>
      <c r="D3" s="18"/>
      <c r="E3" s="18"/>
      <c r="F3" s="19" t="s">
        <v>3</v>
      </c>
      <c r="G3" s="19"/>
      <c r="H3" s="19"/>
      <c r="I3" s="19"/>
      <c r="J3" s="19"/>
      <c r="K3" s="19"/>
      <c r="L3" s="19"/>
      <c r="M3" s="20"/>
      <c r="N3" s="23"/>
      <c r="O3" s="23"/>
      <c r="P3" s="24"/>
    </row>
    <row r="4" spans="2:16" ht="65.25" customHeight="1">
      <c r="B4" s="2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</row>
    <row r="5" spans="2:16" ht="25.5" customHeight="1">
      <c r="B5" s="3" t="s">
        <v>19</v>
      </c>
      <c r="C5" s="4" t="s">
        <v>20</v>
      </c>
      <c r="D5" s="5">
        <v>24</v>
      </c>
      <c r="E5" s="5">
        <v>32</v>
      </c>
      <c r="F5" s="5">
        <v>5.4</v>
      </c>
      <c r="G5" s="5">
        <v>24</v>
      </c>
      <c r="H5" s="5">
        <v>12</v>
      </c>
      <c r="I5" s="5">
        <v>1</v>
      </c>
      <c r="J5" s="5">
        <v>1.3</v>
      </c>
      <c r="K5" s="5">
        <v>0.89600000000000002</v>
      </c>
      <c r="L5" s="5">
        <v>32</v>
      </c>
      <c r="M5" s="6">
        <v>36</v>
      </c>
      <c r="N5" s="5">
        <v>32</v>
      </c>
      <c r="O5" s="5" t="s">
        <v>21</v>
      </c>
      <c r="P5" s="6">
        <f>5600 * 2 * 8 / 1000</f>
        <v>89.6</v>
      </c>
    </row>
    <row r="6" spans="2:16" ht="23.25" customHeight="1">
      <c r="B6" s="3" t="s">
        <v>22</v>
      </c>
      <c r="C6" s="4" t="s">
        <v>20</v>
      </c>
      <c r="D6" s="5">
        <v>12</v>
      </c>
      <c r="E6" s="5">
        <v>16</v>
      </c>
      <c r="F6" s="5">
        <v>4.5</v>
      </c>
      <c r="G6" s="5">
        <v>12</v>
      </c>
      <c r="H6" s="5">
        <v>12</v>
      </c>
      <c r="I6" s="5">
        <v>1</v>
      </c>
      <c r="J6" s="5">
        <v>0.26</v>
      </c>
      <c r="K6" s="5">
        <v>0.38400000000000001</v>
      </c>
      <c r="L6" s="5">
        <v>9</v>
      </c>
      <c r="M6" s="6">
        <v>18</v>
      </c>
      <c r="N6" s="5">
        <v>16</v>
      </c>
      <c r="O6" s="5" t="s">
        <v>23</v>
      </c>
      <c r="P6" s="6">
        <v>25.6</v>
      </c>
    </row>
    <row r="7" spans="2:16" ht="25.5" customHeight="1">
      <c r="B7" s="12" t="s">
        <v>24</v>
      </c>
      <c r="C7" s="4" t="s">
        <v>25</v>
      </c>
      <c r="D7" s="5">
        <v>4</v>
      </c>
      <c r="E7" s="5">
        <v>4</v>
      </c>
      <c r="F7" s="5">
        <v>2.6</v>
      </c>
      <c r="G7" s="5">
        <v>4</v>
      </c>
      <c r="H7" s="5">
        <v>4</v>
      </c>
      <c r="I7" s="5">
        <v>1</v>
      </c>
      <c r="J7" s="5">
        <f>128/1024</f>
        <v>0.125</v>
      </c>
      <c r="K7" s="5">
        <f>192/1024</f>
        <v>0.1875</v>
      </c>
      <c r="L7" s="5">
        <v>5</v>
      </c>
      <c r="M7" s="6">
        <v>42</v>
      </c>
      <c r="N7" s="5">
        <v>12</v>
      </c>
      <c r="O7" s="5" t="s">
        <v>21</v>
      </c>
      <c r="P7" s="6">
        <f>4800*2*8/1000</f>
        <v>76.8</v>
      </c>
    </row>
    <row r="8" spans="2:16" ht="25.5" customHeight="1">
      <c r="B8" s="3" t="s">
        <v>26</v>
      </c>
      <c r="C8" s="4" t="s">
        <v>27</v>
      </c>
      <c r="D8" s="5">
        <v>8</v>
      </c>
      <c r="E8" s="5">
        <v>12</v>
      </c>
      <c r="F8" s="5">
        <v>4.4000000000000004</v>
      </c>
      <c r="G8" s="5">
        <v>8</v>
      </c>
      <c r="H8" s="5">
        <v>5</v>
      </c>
      <c r="I8" s="5">
        <v>1</v>
      </c>
      <c r="J8" s="5">
        <v>0.32</v>
      </c>
      <c r="K8" s="5">
        <v>0.38400000000000001</v>
      </c>
      <c r="L8" s="5">
        <v>7</v>
      </c>
      <c r="M8" s="6">
        <v>12</v>
      </c>
      <c r="N8" s="5">
        <v>24</v>
      </c>
      <c r="O8" s="5" t="s">
        <v>23</v>
      </c>
      <c r="P8" s="6">
        <v>51.2</v>
      </c>
    </row>
    <row r="9" spans="2:16" ht="24" customHeight="1">
      <c r="B9" s="7" t="s">
        <v>28</v>
      </c>
      <c r="C9" s="8" t="s">
        <v>20</v>
      </c>
      <c r="D9" s="9">
        <v>10</v>
      </c>
      <c r="E9" s="9">
        <v>20</v>
      </c>
      <c r="F9" s="9">
        <v>5.2</v>
      </c>
      <c r="G9" s="9">
        <v>10</v>
      </c>
      <c r="H9" s="9">
        <v>10</v>
      </c>
      <c r="I9" s="9">
        <v>1</v>
      </c>
      <c r="J9" s="9">
        <v>0.32</v>
      </c>
      <c r="K9" s="9">
        <v>0.32</v>
      </c>
      <c r="L9" s="9">
        <v>2.5</v>
      </c>
      <c r="M9" s="10">
        <v>20</v>
      </c>
      <c r="N9" s="9">
        <v>64</v>
      </c>
      <c r="O9" s="9" t="s">
        <v>23</v>
      </c>
      <c r="P9" s="10">
        <f>3200 * 2 * 8 / 1000</f>
        <v>51.2</v>
      </c>
    </row>
    <row r="14" spans="2:16">
      <c r="J14" s="13"/>
    </row>
  </sheetData>
  <mergeCells count="5">
    <mergeCell ref="C2:M2"/>
    <mergeCell ref="C3:E3"/>
    <mergeCell ref="F3:M3"/>
    <mergeCell ref="N2:P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2025-11-09T03:30:28Z</dcterms:created>
  <dcterms:modified xsi:type="dcterms:W3CDTF">2026-04-22T20:51:36Z</dcterms:modified>
  <cp:category/>
  <cp:contentStatus/>
</cp:coreProperties>
</file>